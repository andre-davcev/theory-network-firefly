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andredavcev/Projects/theory/apps/theory/assets/finances/"/>
    </mc:Choice>
  </mc:AlternateContent>
  <xr:revisionPtr revIDLastSave="0" documentId="13_ncr:1_{0F4D63A2-881D-1240-862B-A5B14840A69D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Assets" sheetId="3" r:id="rId1"/>
    <sheet name="Expense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7" i="3" l="1"/>
  <c r="J10" i="3"/>
  <c r="J11" i="3"/>
  <c r="O5" i="3"/>
  <c r="O6" i="3"/>
  <c r="O7" i="3"/>
  <c r="O8" i="3"/>
  <c r="O9" i="3"/>
  <c r="O12" i="3"/>
  <c r="O4" i="3"/>
  <c r="J9" i="3"/>
  <c r="J8" i="3"/>
  <c r="N12" i="3"/>
  <c r="J12" i="3"/>
  <c r="P6" i="3" l="1"/>
  <c r="Q6" i="3" s="1"/>
  <c r="R6" i="3" s="1"/>
  <c r="R7" i="3"/>
  <c r="R8" i="3"/>
  <c r="P8" i="3"/>
  <c r="Q8" i="3" s="1"/>
  <c r="P7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P5" i="3"/>
  <c r="Q5" i="3" s="1"/>
  <c r="R5" i="3" s="1"/>
  <c r="P12" i="3"/>
  <c r="Q12" i="3" s="1"/>
  <c r="R12" i="3" s="1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4" i="3"/>
  <c r="Q4" i="3" s="1"/>
  <c r="R4" i="3" s="1"/>
  <c r="Q7" i="3" l="1"/>
  <c r="S5" i="3"/>
  <c r="S12" i="3"/>
  <c r="S4" i="3"/>
  <c r="S2" i="3" l="1"/>
</calcChain>
</file>

<file path=xl/sharedStrings.xml><?xml version="1.0" encoding="utf-8"?>
<sst xmlns="http://schemas.openxmlformats.org/spreadsheetml/2006/main" count="83" uniqueCount="60">
  <si>
    <t>APR</t>
  </si>
  <si>
    <t>Type</t>
  </si>
  <si>
    <t>Ticker</t>
  </si>
  <si>
    <t>Value</t>
  </si>
  <si>
    <t>Dollars</t>
  </si>
  <si>
    <t>USD</t>
  </si>
  <si>
    <t>Crypto</t>
  </si>
  <si>
    <t>XRP</t>
  </si>
  <si>
    <t>Price</t>
  </si>
  <si>
    <t>Checking</t>
  </si>
  <si>
    <t>ESL</t>
  </si>
  <si>
    <t>Family</t>
  </si>
  <si>
    <t>Name</t>
  </si>
  <si>
    <t>US</t>
  </si>
  <si>
    <t>Accounts</t>
  </si>
  <si>
    <t>%</t>
  </si>
  <si>
    <t>Currency</t>
  </si>
  <si>
    <t>Initial</t>
  </si>
  <si>
    <t>Profit</t>
  </si>
  <si>
    <t>Avg</t>
  </si>
  <si>
    <t>Equity</t>
  </si>
  <si>
    <t>Size</t>
  </si>
  <si>
    <t>Total</t>
  </si>
  <si>
    <t>Exchange</t>
  </si>
  <si>
    <t>Token</t>
  </si>
  <si>
    <t>Algorand</t>
  </si>
  <si>
    <t>ALGO</t>
  </si>
  <si>
    <t>Units</t>
  </si>
  <si>
    <t>THN</t>
  </si>
  <si>
    <t>Theory</t>
  </si>
  <si>
    <t>10% (Investors)</t>
  </si>
  <si>
    <t>10% (Community)</t>
  </si>
  <si>
    <t>10% (Escrow)</t>
  </si>
  <si>
    <t>35% (David Beaton)</t>
  </si>
  <si>
    <t>35% (Andre Davcev)</t>
  </si>
  <si>
    <t>Andre</t>
  </si>
  <si>
    <t>Monthly</t>
  </si>
  <si>
    <t>App</t>
  </si>
  <si>
    <t>Provider</t>
  </si>
  <si>
    <t>Aspect</t>
  </si>
  <si>
    <t>Payee</t>
  </si>
  <si>
    <t>NextCorps Membership</t>
  </si>
  <si>
    <t>NextCorps</t>
  </si>
  <si>
    <t>Incubation</t>
  </si>
  <si>
    <t>G Suite (Gmail)</t>
  </si>
  <si>
    <t>Google</t>
  </si>
  <si>
    <t>E-Mail</t>
  </si>
  <si>
    <t>Github</t>
  </si>
  <si>
    <t>Firefly</t>
  </si>
  <si>
    <t>Development</t>
  </si>
  <si>
    <t>JIRA/Confluence</t>
  </si>
  <si>
    <t>Atlassian</t>
  </si>
  <si>
    <t>Agile/Documentation</t>
  </si>
  <si>
    <t>Apple Developer Program</t>
  </si>
  <si>
    <t>Apple</t>
  </si>
  <si>
    <t>Sketch</t>
  </si>
  <si>
    <t>Design</t>
  </si>
  <si>
    <t>AWS (Route 53)</t>
  </si>
  <si>
    <t>Amazon</t>
  </si>
  <si>
    <t>Routing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</si>
</sst>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0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4" fillId="0" borderId="0" xfId="0" applyFont="1"/>
    <xf numFmtId="9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3" fontId="4" fillId="0" borderId="0" xfId="0" applyNumberFormat="1" applyFont="1"/>
    <xf numFmtId="0" fontId="5" fillId="0" borderId="0" xfId="1" applyFont="1"/>
    <xf numFmtId="9" fontId="6" fillId="0" borderId="0" xfId="0" applyNumberFormat="1" applyFont="1"/>
    <xf numFmtId="0" fontId="6" fillId="0" borderId="0" xfId="0" applyFont="1"/>
    <xf numFmtId="165" fontId="6" fillId="0" borderId="0" xfId="0" applyNumberFormat="1" applyFont="1"/>
    <xf numFmtId="3" fontId="6" fillId="0" borderId="0" xfId="0" applyNumberFormat="1" applyFont="1"/>
    <xf numFmtId="164" fontId="6" fillId="0" borderId="0" xfId="0" applyNumberFormat="1" applyFont="1"/>
    <xf numFmtId="165" fontId="5" fillId="0" borderId="0" xfId="1" applyNumberFormat="1" applyFont="1"/>
    <xf numFmtId="0" fontId="6" fillId="0" borderId="0" xfId="1" applyFont="1"/>
    <xf numFmtId="9" fontId="6" fillId="0" borderId="0" xfId="1" applyNumberFormat="1" applyFont="1"/>
    <xf numFmtId="14" fontId="6" fillId="0" borderId="0" xfId="0" applyNumberFormat="1" applyFont="1"/>
    <xf numFmtId="9" fontId="5" fillId="0" borderId="0" xfId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portfolio/p_15/view/view_4" TargetMode="External"/><Relationship Id="rId7" Type="http://schemas.openxmlformats.org/officeDocument/2006/relationships/hyperlink" Target="https://www.esl.org/" TargetMode="External"/><Relationship Id="rId2" Type="http://schemas.openxmlformats.org/officeDocument/2006/relationships/hyperlink" Target="https://finance.yahoo.com/quote/DX%3DF?p=DX%3DF" TargetMode="External"/><Relationship Id="rId1" Type="http://schemas.openxmlformats.org/officeDocument/2006/relationships/hyperlink" Target="https://finance.yahoo.com/quote/DX%3DF?p=DX%3DF" TargetMode="External"/><Relationship Id="rId6" Type="http://schemas.openxmlformats.org/officeDocument/2006/relationships/hyperlink" Target="https://finance.yahoo.com/quote/ALGO-USD?p=ALGO-USD" TargetMode="External"/><Relationship Id="rId5" Type="http://schemas.openxmlformats.org/officeDocument/2006/relationships/hyperlink" Target="https://finance.yahoo.com/quote/XRP-USD?p=XRP-USD" TargetMode="External"/><Relationship Id="rId4" Type="http://schemas.openxmlformats.org/officeDocument/2006/relationships/hyperlink" Target="https://finance.yahoo.com/portfolio/p_23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093E-D33E-8F49-9952-B8137E824143}">
  <dimension ref="B2:S58"/>
  <sheetViews>
    <sheetView tabSelected="1" zoomScale="150" zoomScaleNormal="150" workbookViewId="0">
      <pane ySplit="3" topLeftCell="A4" activePane="bottomLeft" state="frozen"/>
      <selection pane="bottomLeft" activeCell="Q7" sqref="Q7"/>
    </sheetView>
  </sheetViews>
  <sheetFormatPr baseColWidth="10" defaultRowHeight="11" x14ac:dyDescent="0.15"/>
  <cols>
    <col min="1" max="1" width="1.83203125" style="12" customWidth="1"/>
    <col min="2" max="2" width="8.1640625" style="12" bestFit="1" customWidth="1"/>
    <col min="3" max="3" width="2.5" style="11" bestFit="1" customWidth="1"/>
    <col min="4" max="4" width="8.1640625" style="12" bestFit="1" customWidth="1"/>
    <col min="5" max="5" width="2.5" style="11" bestFit="1" customWidth="1"/>
    <col min="6" max="6" width="15.83203125" style="12" bestFit="1" customWidth="1"/>
    <col min="7" max="7" width="4.1640625" style="12" bestFit="1" customWidth="1"/>
    <col min="8" max="8" width="5.83203125" style="12" bestFit="1" customWidth="1"/>
    <col min="9" max="9" width="2.5" style="12" bestFit="1" customWidth="1"/>
    <col min="10" max="10" width="7.6640625" style="13" bestFit="1" customWidth="1"/>
    <col min="11" max="11" width="4.33203125" style="13" bestFit="1" customWidth="1"/>
    <col min="12" max="12" width="2.6640625" style="12" customWidth="1"/>
    <col min="13" max="13" width="5.1640625" style="14" bestFit="1" customWidth="1"/>
    <col min="14" max="14" width="5.6640625" style="15" bestFit="1" customWidth="1"/>
    <col min="15" max="15" width="7.6640625" style="13" bestFit="1" customWidth="1"/>
    <col min="16" max="16" width="5.6640625" style="15" bestFit="1" customWidth="1"/>
    <col min="17" max="17" width="5.5" style="15" bestFit="1" customWidth="1"/>
    <col min="18" max="18" width="4" style="11" bestFit="1" customWidth="1"/>
    <col min="19" max="19" width="5.1640625" style="12" bestFit="1" customWidth="1"/>
    <col min="20" max="20" width="12.1640625" style="12" bestFit="1" customWidth="1"/>
    <col min="21" max="16384" width="10.83203125" style="12"/>
  </cols>
  <sheetData>
    <row r="2" spans="2:19" s="5" customFormat="1" x14ac:dyDescent="0.15">
      <c r="C2" s="6"/>
      <c r="E2" s="6"/>
      <c r="J2" s="7"/>
      <c r="K2" s="7"/>
      <c r="N2" s="8"/>
      <c r="P2" s="8"/>
      <c r="Q2" s="8"/>
      <c r="R2" s="6"/>
      <c r="S2" s="8">
        <f>SUM(P:P)</f>
        <v>869.37000000000012</v>
      </c>
    </row>
    <row r="3" spans="2:19" s="5" customFormat="1" x14ac:dyDescent="0.15">
      <c r="B3" s="5" t="s">
        <v>1</v>
      </c>
      <c r="C3" s="6" t="s">
        <v>15</v>
      </c>
      <c r="D3" s="5" t="s">
        <v>11</v>
      </c>
      <c r="E3" s="6" t="s">
        <v>15</v>
      </c>
      <c r="F3" s="5" t="s">
        <v>12</v>
      </c>
      <c r="G3" s="5" t="s">
        <v>21</v>
      </c>
      <c r="H3" s="5" t="s">
        <v>2</v>
      </c>
      <c r="I3" s="5" t="s">
        <v>15</v>
      </c>
      <c r="J3" s="7" t="s">
        <v>8</v>
      </c>
      <c r="K3" s="7" t="s">
        <v>0</v>
      </c>
      <c r="M3" s="9" t="s">
        <v>27</v>
      </c>
      <c r="N3" s="8" t="s">
        <v>17</v>
      </c>
      <c r="O3" s="7" t="s">
        <v>19</v>
      </c>
      <c r="P3" s="8" t="s">
        <v>3</v>
      </c>
      <c r="Q3" s="8" t="s">
        <v>18</v>
      </c>
      <c r="R3" s="6" t="s">
        <v>15</v>
      </c>
      <c r="S3" s="5" t="s">
        <v>22</v>
      </c>
    </row>
    <row r="4" spans="2:19" x14ac:dyDescent="0.15">
      <c r="B4" s="10" t="s">
        <v>16</v>
      </c>
      <c r="D4" s="12" t="s">
        <v>13</v>
      </c>
      <c r="F4" s="12" t="s">
        <v>4</v>
      </c>
      <c r="H4" s="10" t="s">
        <v>5</v>
      </c>
      <c r="I4" s="10"/>
      <c r="J4" s="13">
        <v>1</v>
      </c>
      <c r="O4" s="13" t="str">
        <f t="shared" ref="O4:O22" si="0">IF(N4="","", N4/M4)</f>
        <v/>
      </c>
      <c r="P4" s="15" t="str">
        <f t="shared" ref="P4" si="1">IF(M4="", "", $J4*M4)</f>
        <v/>
      </c>
      <c r="Q4" s="15" t="str">
        <f>IF(N4="", "", P4-N4)</f>
        <v/>
      </c>
      <c r="R4" s="11" t="str">
        <f>IF(OR(N4="",N4=0),"",Q4/N4)</f>
        <v/>
      </c>
      <c r="S4" s="15">
        <f>SUM(P4:P4)</f>
        <v>0</v>
      </c>
    </row>
    <row r="5" spans="2:19" x14ac:dyDescent="0.15">
      <c r="B5" s="10" t="s">
        <v>6</v>
      </c>
      <c r="D5" s="12" t="s">
        <v>23</v>
      </c>
      <c r="F5" s="12" t="s">
        <v>7</v>
      </c>
      <c r="H5" s="16" t="s">
        <v>7</v>
      </c>
      <c r="I5" s="16"/>
      <c r="J5" s="13">
        <v>1.0799000000000001</v>
      </c>
      <c r="M5" s="14">
        <v>500</v>
      </c>
      <c r="N5" s="15">
        <v>561.26</v>
      </c>
      <c r="O5" s="13">
        <f t="shared" si="0"/>
        <v>1.12252</v>
      </c>
      <c r="P5" s="15">
        <f t="shared" ref="P5:P21" si="2">IF(M5="", "", $J5*M5)</f>
        <v>539.95000000000005</v>
      </c>
      <c r="Q5" s="15">
        <f t="shared" ref="Q5:Q21" si="3">IF(N5="", "", P5-N5)</f>
        <v>-21.309999999999945</v>
      </c>
      <c r="R5" s="11">
        <f t="shared" ref="R5" si="4">IF(OR(N5="",N5=0),"",Q5/N5)</f>
        <v>-3.7968143106581524E-2</v>
      </c>
      <c r="S5" s="15">
        <f>SUM(P5:P6)</f>
        <v>539.95000000000005</v>
      </c>
    </row>
    <row r="6" spans="2:19" x14ac:dyDescent="0.15">
      <c r="D6" s="12" t="s">
        <v>24</v>
      </c>
      <c r="F6" s="12" t="s">
        <v>25</v>
      </c>
      <c r="H6" s="16" t="s">
        <v>26</v>
      </c>
      <c r="I6" s="16"/>
      <c r="J6" s="13">
        <v>1.8218000000000001</v>
      </c>
      <c r="O6" s="13" t="str">
        <f t="shared" si="0"/>
        <v/>
      </c>
      <c r="P6" s="15" t="str">
        <f>IF(M6="", "", $J6*M6)</f>
        <v/>
      </c>
      <c r="Q6" s="15" t="str">
        <f>IF(N6="", "", P6-N6)</f>
        <v/>
      </c>
      <c r="R6" s="11" t="str">
        <f>IF(OR(N6="",N6=0),"",Q6/N6)</f>
        <v/>
      </c>
    </row>
    <row r="7" spans="2:19" x14ac:dyDescent="0.15">
      <c r="B7" s="12" t="s">
        <v>20</v>
      </c>
      <c r="D7" s="17" t="s">
        <v>29</v>
      </c>
      <c r="E7" s="18"/>
      <c r="F7" s="12" t="s">
        <v>30</v>
      </c>
      <c r="H7" s="17" t="s">
        <v>28</v>
      </c>
      <c r="I7" s="17"/>
      <c r="J7" s="13">
        <v>0</v>
      </c>
      <c r="O7" s="13" t="str">
        <f t="shared" si="0"/>
        <v/>
      </c>
      <c r="P7" s="15" t="str">
        <f t="shared" si="2"/>
        <v/>
      </c>
      <c r="Q7" s="15" t="str">
        <f t="shared" si="3"/>
        <v/>
      </c>
      <c r="R7" s="11" t="str">
        <f t="shared" ref="R7:R12" si="5">IF(OR(N7="",N7=0),"",Q7/N7)</f>
        <v/>
      </c>
      <c r="S7" s="15">
        <f>SUM(P7:P11)</f>
        <v>0</v>
      </c>
    </row>
    <row r="8" spans="2:19" x14ac:dyDescent="0.15">
      <c r="B8" s="19"/>
      <c r="D8" s="17" t="s">
        <v>29</v>
      </c>
      <c r="E8" s="18"/>
      <c r="F8" s="12" t="s">
        <v>31</v>
      </c>
      <c r="H8" s="17" t="s">
        <v>28</v>
      </c>
      <c r="I8" s="17"/>
      <c r="J8" s="13">
        <f>$J$7</f>
        <v>0</v>
      </c>
      <c r="O8" s="13" t="str">
        <f t="shared" si="0"/>
        <v/>
      </c>
      <c r="P8" s="15" t="str">
        <f t="shared" si="2"/>
        <v/>
      </c>
      <c r="Q8" s="15" t="str">
        <f t="shared" si="3"/>
        <v/>
      </c>
      <c r="R8" s="11" t="str">
        <f t="shared" si="5"/>
        <v/>
      </c>
    </row>
    <row r="9" spans="2:19" x14ac:dyDescent="0.15">
      <c r="B9" s="19"/>
      <c r="D9" s="17" t="s">
        <v>29</v>
      </c>
      <c r="E9" s="18"/>
      <c r="F9" s="12" t="s">
        <v>32</v>
      </c>
      <c r="H9" s="17" t="s">
        <v>28</v>
      </c>
      <c r="I9" s="17"/>
      <c r="J9" s="13">
        <f>$J$7</f>
        <v>0</v>
      </c>
      <c r="O9" s="13" t="str">
        <f t="shared" si="0"/>
        <v/>
      </c>
    </row>
    <row r="10" spans="2:19" x14ac:dyDescent="0.15">
      <c r="B10" s="19"/>
      <c r="D10" s="17" t="s">
        <v>29</v>
      </c>
      <c r="E10" s="18"/>
      <c r="F10" s="12" t="s">
        <v>33</v>
      </c>
      <c r="H10" s="17" t="s">
        <v>28</v>
      </c>
      <c r="I10" s="17"/>
      <c r="J10" s="13">
        <f t="shared" ref="J10:J11" si="6">$J$7</f>
        <v>0</v>
      </c>
    </row>
    <row r="11" spans="2:19" x14ac:dyDescent="0.15">
      <c r="B11" s="19"/>
      <c r="D11" s="17" t="s">
        <v>29</v>
      </c>
      <c r="E11" s="18"/>
      <c r="F11" s="12" t="s">
        <v>34</v>
      </c>
      <c r="H11" s="17" t="s">
        <v>28</v>
      </c>
      <c r="I11" s="17"/>
      <c r="J11" s="13">
        <f t="shared" si="6"/>
        <v>0</v>
      </c>
    </row>
    <row r="12" spans="2:19" x14ac:dyDescent="0.15">
      <c r="B12" s="12" t="s">
        <v>14</v>
      </c>
      <c r="D12" s="10" t="s">
        <v>10</v>
      </c>
      <c r="E12" s="20"/>
      <c r="F12" s="12" t="s">
        <v>9</v>
      </c>
      <c r="H12" s="10" t="s">
        <v>5</v>
      </c>
      <c r="I12" s="10"/>
      <c r="J12" s="13">
        <f>$J$4</f>
        <v>1</v>
      </c>
      <c r="M12" s="14">
        <v>329.42</v>
      </c>
      <c r="N12" s="15">
        <f>M12</f>
        <v>329.42</v>
      </c>
      <c r="O12" s="13">
        <f t="shared" si="0"/>
        <v>1</v>
      </c>
      <c r="P12" s="15">
        <f t="shared" si="2"/>
        <v>329.42</v>
      </c>
      <c r="Q12" s="15">
        <f t="shared" si="3"/>
        <v>0</v>
      </c>
      <c r="R12" s="11">
        <f t="shared" si="5"/>
        <v>0</v>
      </c>
      <c r="S12" s="15">
        <f>SUM(P12:P12)</f>
        <v>329.42</v>
      </c>
    </row>
    <row r="13" spans="2:19" x14ac:dyDescent="0.15">
      <c r="O13" s="13" t="str">
        <f t="shared" si="0"/>
        <v/>
      </c>
      <c r="P13" s="15" t="str">
        <f t="shared" si="2"/>
        <v/>
      </c>
      <c r="Q13" s="15" t="str">
        <f t="shared" si="3"/>
        <v/>
      </c>
      <c r="R13" s="11" t="str">
        <f t="shared" ref="R13:R21" si="7">IF(N13="","",Q13/N13)</f>
        <v/>
      </c>
    </row>
    <row r="14" spans="2:19" x14ac:dyDescent="0.15">
      <c r="O14" s="13" t="str">
        <f t="shared" si="0"/>
        <v/>
      </c>
      <c r="P14" s="15" t="str">
        <f t="shared" si="2"/>
        <v/>
      </c>
      <c r="Q14" s="15" t="str">
        <f t="shared" si="3"/>
        <v/>
      </c>
      <c r="R14" s="11" t="str">
        <f t="shared" si="7"/>
        <v/>
      </c>
    </row>
    <row r="15" spans="2:19" x14ac:dyDescent="0.15">
      <c r="O15" s="13" t="str">
        <f t="shared" si="0"/>
        <v/>
      </c>
      <c r="P15" s="15" t="str">
        <f t="shared" si="2"/>
        <v/>
      </c>
      <c r="Q15" s="15" t="str">
        <f t="shared" si="3"/>
        <v/>
      </c>
      <c r="R15" s="11" t="str">
        <f t="shared" si="7"/>
        <v/>
      </c>
    </row>
    <row r="16" spans="2:19" x14ac:dyDescent="0.15">
      <c r="O16" s="13" t="str">
        <f t="shared" si="0"/>
        <v/>
      </c>
      <c r="P16" s="15" t="str">
        <f t="shared" si="2"/>
        <v/>
      </c>
      <c r="Q16" s="15" t="str">
        <f t="shared" si="3"/>
        <v/>
      </c>
      <c r="R16" s="11" t="str">
        <f t="shared" si="7"/>
        <v/>
      </c>
    </row>
    <row r="17" spans="15:18" x14ac:dyDescent="0.15">
      <c r="O17" s="13" t="str">
        <f t="shared" si="0"/>
        <v/>
      </c>
      <c r="P17" s="15" t="str">
        <f t="shared" si="2"/>
        <v/>
      </c>
      <c r="Q17" s="15" t="str">
        <f t="shared" si="3"/>
        <v/>
      </c>
      <c r="R17" s="11" t="str">
        <f t="shared" si="7"/>
        <v/>
      </c>
    </row>
    <row r="18" spans="15:18" x14ac:dyDescent="0.15">
      <c r="O18" s="13" t="str">
        <f t="shared" si="0"/>
        <v/>
      </c>
      <c r="P18" s="15" t="str">
        <f t="shared" si="2"/>
        <v/>
      </c>
      <c r="Q18" s="15" t="str">
        <f t="shared" si="3"/>
        <v/>
      </c>
      <c r="R18" s="11" t="str">
        <f t="shared" si="7"/>
        <v/>
      </c>
    </row>
    <row r="19" spans="15:18" x14ac:dyDescent="0.15">
      <c r="O19" s="13" t="str">
        <f t="shared" si="0"/>
        <v/>
      </c>
      <c r="P19" s="15" t="str">
        <f t="shared" si="2"/>
        <v/>
      </c>
      <c r="Q19" s="15" t="str">
        <f t="shared" si="3"/>
        <v/>
      </c>
      <c r="R19" s="11" t="str">
        <f t="shared" si="7"/>
        <v/>
      </c>
    </row>
    <row r="20" spans="15:18" x14ac:dyDescent="0.15">
      <c r="O20" s="13" t="str">
        <f t="shared" si="0"/>
        <v/>
      </c>
      <c r="P20" s="15" t="str">
        <f t="shared" si="2"/>
        <v/>
      </c>
      <c r="Q20" s="15" t="str">
        <f t="shared" si="3"/>
        <v/>
      </c>
      <c r="R20" s="11" t="str">
        <f t="shared" si="7"/>
        <v/>
      </c>
    </row>
    <row r="21" spans="15:18" x14ac:dyDescent="0.15">
      <c r="O21" s="13" t="str">
        <f t="shared" si="0"/>
        <v/>
      </c>
      <c r="P21" s="15" t="str">
        <f t="shared" si="2"/>
        <v/>
      </c>
      <c r="Q21" s="15" t="str">
        <f t="shared" si="3"/>
        <v/>
      </c>
      <c r="R21" s="11" t="str">
        <f t="shared" si="7"/>
        <v/>
      </c>
    </row>
    <row r="22" spans="15:18" x14ac:dyDescent="0.15">
      <c r="O22" s="13" t="str">
        <f t="shared" si="0"/>
        <v/>
      </c>
      <c r="P22" s="15" t="str">
        <f t="shared" ref="P22:P53" si="8">IF(M22="", "", $J22*M22)</f>
        <v/>
      </c>
      <c r="Q22" s="15" t="str">
        <f t="shared" ref="Q22:Q58" si="9">IF(N22="", "", P22-N22)</f>
        <v/>
      </c>
      <c r="R22" s="11" t="str">
        <f t="shared" ref="R22:R58" si="10">IF(N22="","",Q22/N22)</f>
        <v/>
      </c>
    </row>
    <row r="23" spans="15:18" x14ac:dyDescent="0.15">
      <c r="O23" s="13" t="str">
        <f t="shared" ref="O23:O58" si="11">IF(N23="","", N23/M23)</f>
        <v/>
      </c>
      <c r="P23" s="15" t="str">
        <f t="shared" si="8"/>
        <v/>
      </c>
      <c r="Q23" s="15" t="str">
        <f t="shared" si="9"/>
        <v/>
      </c>
      <c r="R23" s="11" t="str">
        <f t="shared" si="10"/>
        <v/>
      </c>
    </row>
    <row r="24" spans="15:18" x14ac:dyDescent="0.15">
      <c r="O24" s="13" t="str">
        <f t="shared" si="11"/>
        <v/>
      </c>
      <c r="P24" s="15" t="str">
        <f t="shared" si="8"/>
        <v/>
      </c>
      <c r="Q24" s="15" t="str">
        <f t="shared" si="9"/>
        <v/>
      </c>
      <c r="R24" s="11" t="str">
        <f t="shared" si="10"/>
        <v/>
      </c>
    </row>
    <row r="25" spans="15:18" x14ac:dyDescent="0.15">
      <c r="O25" s="13" t="str">
        <f t="shared" si="11"/>
        <v/>
      </c>
      <c r="P25" s="15" t="str">
        <f t="shared" si="8"/>
        <v/>
      </c>
      <c r="Q25" s="15" t="str">
        <f t="shared" si="9"/>
        <v/>
      </c>
      <c r="R25" s="11" t="str">
        <f t="shared" si="10"/>
        <v/>
      </c>
    </row>
    <row r="26" spans="15:18" x14ac:dyDescent="0.15">
      <c r="O26" s="13" t="str">
        <f t="shared" si="11"/>
        <v/>
      </c>
      <c r="P26" s="15" t="str">
        <f t="shared" si="8"/>
        <v/>
      </c>
      <c r="Q26" s="15" t="str">
        <f t="shared" si="9"/>
        <v/>
      </c>
      <c r="R26" s="11" t="str">
        <f t="shared" si="10"/>
        <v/>
      </c>
    </row>
    <row r="27" spans="15:18" x14ac:dyDescent="0.15">
      <c r="O27" s="13" t="str">
        <f t="shared" si="11"/>
        <v/>
      </c>
      <c r="P27" s="15" t="str">
        <f t="shared" si="8"/>
        <v/>
      </c>
      <c r="Q27" s="15" t="str">
        <f t="shared" si="9"/>
        <v/>
      </c>
      <c r="R27" s="11" t="str">
        <f t="shared" si="10"/>
        <v/>
      </c>
    </row>
    <row r="28" spans="15:18" x14ac:dyDescent="0.15">
      <c r="O28" s="13" t="str">
        <f t="shared" si="11"/>
        <v/>
      </c>
      <c r="P28" s="15" t="str">
        <f t="shared" si="8"/>
        <v/>
      </c>
      <c r="Q28" s="15" t="str">
        <f t="shared" si="9"/>
        <v/>
      </c>
      <c r="R28" s="11" t="str">
        <f t="shared" si="10"/>
        <v/>
      </c>
    </row>
    <row r="29" spans="15:18" x14ac:dyDescent="0.15">
      <c r="O29" s="13" t="str">
        <f t="shared" si="11"/>
        <v/>
      </c>
      <c r="P29" s="15" t="str">
        <f t="shared" si="8"/>
        <v/>
      </c>
      <c r="Q29" s="15" t="str">
        <f t="shared" si="9"/>
        <v/>
      </c>
      <c r="R29" s="11" t="str">
        <f t="shared" si="10"/>
        <v/>
      </c>
    </row>
    <row r="30" spans="15:18" x14ac:dyDescent="0.15">
      <c r="O30" s="13" t="str">
        <f t="shared" si="11"/>
        <v/>
      </c>
      <c r="P30" s="15" t="str">
        <f t="shared" si="8"/>
        <v/>
      </c>
      <c r="Q30" s="15" t="str">
        <f t="shared" si="9"/>
        <v/>
      </c>
      <c r="R30" s="11" t="str">
        <f t="shared" si="10"/>
        <v/>
      </c>
    </row>
    <row r="31" spans="15:18" x14ac:dyDescent="0.15">
      <c r="O31" s="13" t="str">
        <f t="shared" si="11"/>
        <v/>
      </c>
      <c r="P31" s="15" t="str">
        <f t="shared" si="8"/>
        <v/>
      </c>
      <c r="Q31" s="15" t="str">
        <f t="shared" si="9"/>
        <v/>
      </c>
      <c r="R31" s="11" t="str">
        <f t="shared" si="10"/>
        <v/>
      </c>
    </row>
    <row r="32" spans="15:18" x14ac:dyDescent="0.15">
      <c r="O32" s="13" t="str">
        <f t="shared" si="11"/>
        <v/>
      </c>
      <c r="P32" s="15" t="str">
        <f t="shared" si="8"/>
        <v/>
      </c>
      <c r="Q32" s="15" t="str">
        <f t="shared" si="9"/>
        <v/>
      </c>
      <c r="R32" s="11" t="str">
        <f t="shared" si="10"/>
        <v/>
      </c>
    </row>
    <row r="33" spans="15:18" x14ac:dyDescent="0.15">
      <c r="O33" s="13" t="str">
        <f t="shared" si="11"/>
        <v/>
      </c>
      <c r="P33" s="15" t="str">
        <f t="shared" si="8"/>
        <v/>
      </c>
      <c r="Q33" s="15" t="str">
        <f t="shared" si="9"/>
        <v/>
      </c>
      <c r="R33" s="11" t="str">
        <f t="shared" si="10"/>
        <v/>
      </c>
    </row>
    <row r="34" spans="15:18" x14ac:dyDescent="0.15">
      <c r="O34" s="13" t="str">
        <f t="shared" si="11"/>
        <v/>
      </c>
      <c r="P34" s="15" t="str">
        <f t="shared" si="8"/>
        <v/>
      </c>
      <c r="Q34" s="15" t="str">
        <f t="shared" si="9"/>
        <v/>
      </c>
      <c r="R34" s="11" t="str">
        <f t="shared" si="10"/>
        <v/>
      </c>
    </row>
    <row r="35" spans="15:18" x14ac:dyDescent="0.15">
      <c r="O35" s="13" t="str">
        <f t="shared" si="11"/>
        <v/>
      </c>
      <c r="P35" s="15" t="str">
        <f t="shared" si="8"/>
        <v/>
      </c>
      <c r="Q35" s="15" t="str">
        <f t="shared" si="9"/>
        <v/>
      </c>
      <c r="R35" s="11" t="str">
        <f t="shared" si="10"/>
        <v/>
      </c>
    </row>
    <row r="36" spans="15:18" x14ac:dyDescent="0.15">
      <c r="O36" s="13" t="str">
        <f t="shared" si="11"/>
        <v/>
      </c>
      <c r="P36" s="15" t="str">
        <f t="shared" si="8"/>
        <v/>
      </c>
      <c r="Q36" s="15" t="str">
        <f t="shared" si="9"/>
        <v/>
      </c>
      <c r="R36" s="11" t="str">
        <f t="shared" si="10"/>
        <v/>
      </c>
    </row>
    <row r="37" spans="15:18" x14ac:dyDescent="0.15">
      <c r="O37" s="13" t="str">
        <f t="shared" si="11"/>
        <v/>
      </c>
      <c r="P37" s="15" t="str">
        <f t="shared" si="8"/>
        <v/>
      </c>
      <c r="Q37" s="15" t="str">
        <f t="shared" si="9"/>
        <v/>
      </c>
      <c r="R37" s="11" t="str">
        <f t="shared" si="10"/>
        <v/>
      </c>
    </row>
    <row r="38" spans="15:18" x14ac:dyDescent="0.15">
      <c r="O38" s="13" t="str">
        <f t="shared" si="11"/>
        <v/>
      </c>
      <c r="P38" s="15" t="str">
        <f t="shared" si="8"/>
        <v/>
      </c>
      <c r="Q38" s="15" t="str">
        <f t="shared" si="9"/>
        <v/>
      </c>
      <c r="R38" s="11" t="str">
        <f t="shared" si="10"/>
        <v/>
      </c>
    </row>
    <row r="39" spans="15:18" x14ac:dyDescent="0.15">
      <c r="O39" s="13" t="str">
        <f t="shared" si="11"/>
        <v/>
      </c>
      <c r="P39" s="15" t="str">
        <f t="shared" si="8"/>
        <v/>
      </c>
      <c r="Q39" s="15" t="str">
        <f t="shared" si="9"/>
        <v/>
      </c>
      <c r="R39" s="11" t="str">
        <f t="shared" si="10"/>
        <v/>
      </c>
    </row>
    <row r="40" spans="15:18" x14ac:dyDescent="0.15">
      <c r="O40" s="13" t="str">
        <f t="shared" si="11"/>
        <v/>
      </c>
      <c r="P40" s="15" t="str">
        <f t="shared" si="8"/>
        <v/>
      </c>
      <c r="Q40" s="15" t="str">
        <f t="shared" si="9"/>
        <v/>
      </c>
      <c r="R40" s="11" t="str">
        <f t="shared" si="10"/>
        <v/>
      </c>
    </row>
    <row r="41" spans="15:18" x14ac:dyDescent="0.15">
      <c r="O41" s="13" t="str">
        <f t="shared" si="11"/>
        <v/>
      </c>
      <c r="P41" s="15" t="str">
        <f t="shared" si="8"/>
        <v/>
      </c>
      <c r="Q41" s="15" t="str">
        <f t="shared" si="9"/>
        <v/>
      </c>
      <c r="R41" s="11" t="str">
        <f t="shared" si="10"/>
        <v/>
      </c>
    </row>
    <row r="42" spans="15:18" x14ac:dyDescent="0.15">
      <c r="O42" s="13" t="str">
        <f t="shared" si="11"/>
        <v/>
      </c>
      <c r="P42" s="15" t="str">
        <f t="shared" si="8"/>
        <v/>
      </c>
      <c r="Q42" s="15" t="str">
        <f t="shared" si="9"/>
        <v/>
      </c>
      <c r="R42" s="11" t="str">
        <f t="shared" si="10"/>
        <v/>
      </c>
    </row>
    <row r="43" spans="15:18" x14ac:dyDescent="0.15">
      <c r="O43" s="13" t="str">
        <f t="shared" si="11"/>
        <v/>
      </c>
      <c r="P43" s="15" t="str">
        <f t="shared" si="8"/>
        <v/>
      </c>
      <c r="Q43" s="15" t="str">
        <f t="shared" si="9"/>
        <v/>
      </c>
      <c r="R43" s="11" t="str">
        <f t="shared" si="10"/>
        <v/>
      </c>
    </row>
    <row r="44" spans="15:18" x14ac:dyDescent="0.15">
      <c r="O44" s="13" t="str">
        <f t="shared" si="11"/>
        <v/>
      </c>
      <c r="P44" s="15" t="str">
        <f t="shared" si="8"/>
        <v/>
      </c>
      <c r="Q44" s="15" t="str">
        <f t="shared" si="9"/>
        <v/>
      </c>
      <c r="R44" s="11" t="str">
        <f t="shared" si="10"/>
        <v/>
      </c>
    </row>
    <row r="45" spans="15:18" x14ac:dyDescent="0.15">
      <c r="O45" s="13" t="str">
        <f t="shared" si="11"/>
        <v/>
      </c>
      <c r="P45" s="15" t="str">
        <f t="shared" si="8"/>
        <v/>
      </c>
      <c r="Q45" s="15" t="str">
        <f t="shared" si="9"/>
        <v/>
      </c>
      <c r="R45" s="11" t="str">
        <f t="shared" si="10"/>
        <v/>
      </c>
    </row>
    <row r="46" spans="15:18" x14ac:dyDescent="0.15">
      <c r="O46" s="13" t="str">
        <f t="shared" si="11"/>
        <v/>
      </c>
      <c r="P46" s="15" t="str">
        <f t="shared" si="8"/>
        <v/>
      </c>
      <c r="Q46" s="15" t="str">
        <f t="shared" si="9"/>
        <v/>
      </c>
      <c r="R46" s="11" t="str">
        <f t="shared" si="10"/>
        <v/>
      </c>
    </row>
    <row r="47" spans="15:18" x14ac:dyDescent="0.15">
      <c r="O47" s="13" t="str">
        <f t="shared" si="11"/>
        <v/>
      </c>
      <c r="P47" s="15" t="str">
        <f t="shared" si="8"/>
        <v/>
      </c>
      <c r="Q47" s="15" t="str">
        <f t="shared" si="9"/>
        <v/>
      </c>
      <c r="R47" s="11" t="str">
        <f t="shared" si="10"/>
        <v/>
      </c>
    </row>
    <row r="48" spans="15:18" x14ac:dyDescent="0.15">
      <c r="O48" s="13" t="str">
        <f t="shared" si="11"/>
        <v/>
      </c>
      <c r="P48" s="15" t="str">
        <f t="shared" si="8"/>
        <v/>
      </c>
      <c r="Q48" s="15" t="str">
        <f t="shared" si="9"/>
        <v/>
      </c>
      <c r="R48" s="11" t="str">
        <f t="shared" si="10"/>
        <v/>
      </c>
    </row>
    <row r="49" spans="15:18" x14ac:dyDescent="0.15">
      <c r="O49" s="13" t="str">
        <f t="shared" si="11"/>
        <v/>
      </c>
      <c r="P49" s="15" t="str">
        <f t="shared" si="8"/>
        <v/>
      </c>
      <c r="Q49" s="15" t="str">
        <f t="shared" si="9"/>
        <v/>
      </c>
      <c r="R49" s="11" t="str">
        <f t="shared" si="10"/>
        <v/>
      </c>
    </row>
    <row r="50" spans="15:18" x14ac:dyDescent="0.15">
      <c r="O50" s="13" t="str">
        <f t="shared" si="11"/>
        <v/>
      </c>
      <c r="P50" s="15" t="str">
        <f t="shared" si="8"/>
        <v/>
      </c>
      <c r="Q50" s="15" t="str">
        <f t="shared" si="9"/>
        <v/>
      </c>
      <c r="R50" s="11" t="str">
        <f t="shared" si="10"/>
        <v/>
      </c>
    </row>
    <row r="51" spans="15:18" x14ac:dyDescent="0.15">
      <c r="O51" s="13" t="str">
        <f t="shared" si="11"/>
        <v/>
      </c>
      <c r="P51" s="15" t="str">
        <f t="shared" si="8"/>
        <v/>
      </c>
      <c r="Q51" s="15" t="str">
        <f t="shared" si="9"/>
        <v/>
      </c>
      <c r="R51" s="11" t="str">
        <f t="shared" si="10"/>
        <v/>
      </c>
    </row>
    <row r="52" spans="15:18" x14ac:dyDescent="0.15">
      <c r="O52" s="13" t="str">
        <f t="shared" si="11"/>
        <v/>
      </c>
      <c r="P52" s="15" t="str">
        <f t="shared" si="8"/>
        <v/>
      </c>
      <c r="Q52" s="15" t="str">
        <f t="shared" si="9"/>
        <v/>
      </c>
      <c r="R52" s="11" t="str">
        <f t="shared" si="10"/>
        <v/>
      </c>
    </row>
    <row r="53" spans="15:18" x14ac:dyDescent="0.15">
      <c r="O53" s="13" t="str">
        <f t="shared" si="11"/>
        <v/>
      </c>
      <c r="P53" s="15" t="str">
        <f t="shared" si="8"/>
        <v/>
      </c>
      <c r="Q53" s="15" t="str">
        <f t="shared" si="9"/>
        <v/>
      </c>
      <c r="R53" s="11" t="str">
        <f t="shared" si="10"/>
        <v/>
      </c>
    </row>
    <row r="54" spans="15:18" x14ac:dyDescent="0.15">
      <c r="O54" s="13" t="str">
        <f t="shared" si="11"/>
        <v/>
      </c>
      <c r="P54" s="15" t="str">
        <f t="shared" ref="P54:P58" si="12">IF(M54="", "", $J54*M54)</f>
        <v/>
      </c>
      <c r="Q54" s="15" t="str">
        <f t="shared" si="9"/>
        <v/>
      </c>
      <c r="R54" s="11" t="str">
        <f t="shared" si="10"/>
        <v/>
      </c>
    </row>
    <row r="55" spans="15:18" x14ac:dyDescent="0.15">
      <c r="O55" s="13" t="str">
        <f t="shared" si="11"/>
        <v/>
      </c>
      <c r="P55" s="15" t="str">
        <f t="shared" si="12"/>
        <v/>
      </c>
      <c r="Q55" s="15" t="str">
        <f t="shared" si="9"/>
        <v/>
      </c>
      <c r="R55" s="11" t="str">
        <f t="shared" si="10"/>
        <v/>
      </c>
    </row>
    <row r="56" spans="15:18" x14ac:dyDescent="0.15">
      <c r="O56" s="13" t="str">
        <f t="shared" si="11"/>
        <v/>
      </c>
      <c r="P56" s="15" t="str">
        <f t="shared" si="12"/>
        <v/>
      </c>
      <c r="Q56" s="15" t="str">
        <f t="shared" si="9"/>
        <v/>
      </c>
      <c r="R56" s="11" t="str">
        <f t="shared" si="10"/>
        <v/>
      </c>
    </row>
    <row r="57" spans="15:18" x14ac:dyDescent="0.15">
      <c r="O57" s="13" t="str">
        <f t="shared" si="11"/>
        <v/>
      </c>
      <c r="P57" s="15" t="str">
        <f t="shared" si="12"/>
        <v/>
      </c>
      <c r="Q57" s="15" t="str">
        <f t="shared" si="9"/>
        <v/>
      </c>
      <c r="R57" s="11" t="str">
        <f t="shared" si="10"/>
        <v/>
      </c>
    </row>
    <row r="58" spans="15:18" x14ac:dyDescent="0.15">
      <c r="O58" s="13" t="str">
        <f t="shared" si="11"/>
        <v/>
      </c>
      <c r="P58" s="15" t="str">
        <f t="shared" si="12"/>
        <v/>
      </c>
      <c r="Q58" s="15" t="str">
        <f t="shared" si="9"/>
        <v/>
      </c>
      <c r="R58" s="11" t="str">
        <f t="shared" si="10"/>
        <v/>
      </c>
    </row>
  </sheetData>
  <hyperlinks>
    <hyperlink ref="H4" r:id="rId1" xr:uid="{5C53377D-CF9B-4546-9376-EB3814B76194}"/>
    <hyperlink ref="H12" r:id="rId2" xr:uid="{37F113BB-2B4E-7E4A-95F4-FC2FB52E26F5}"/>
    <hyperlink ref="B4" r:id="rId3" xr:uid="{8A758234-A490-8F43-8B11-5F07B9CCF045}"/>
    <hyperlink ref="B5" r:id="rId4" xr:uid="{FBE8C9FC-55AB-C441-A3A5-5FA63FFA885A}"/>
    <hyperlink ref="H5" r:id="rId5" xr:uid="{93C37867-2F94-044E-87FF-57A663AAD6CA}"/>
    <hyperlink ref="H6" r:id="rId6" xr:uid="{A43D5504-285A-514F-99BF-233976A7AA61}"/>
    <hyperlink ref="D12" r:id="rId7" xr:uid="{5F123B53-D1CE-5D4B-902D-33986B02983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B805-70F4-A944-8285-608325343651}">
  <dimension ref="A1:G11"/>
  <sheetViews>
    <sheetView zoomScale="150" zoomScaleNormal="150" workbookViewId="0">
      <selection activeCell="F21" sqref="F21"/>
    </sheetView>
  </sheetViews>
  <sheetFormatPr baseColWidth="10" defaultRowHeight="11" customHeight="1" x14ac:dyDescent="0.2"/>
  <cols>
    <col min="1" max="1" width="1.6640625" customWidth="1"/>
    <col min="2" max="2" width="15" bestFit="1" customWidth="1"/>
    <col min="3" max="3" width="5.5" bestFit="1" customWidth="1"/>
    <col min="4" max="4" width="4.6640625" bestFit="1" customWidth="1"/>
    <col min="5" max="5" width="6.33203125" bestFit="1" customWidth="1"/>
    <col min="6" max="6" width="12.5" bestFit="1" customWidth="1"/>
    <col min="7" max="7" width="4.1640625" bestFit="1" customWidth="1"/>
  </cols>
  <sheetData>
    <row r="1" spans="1:7" ht="11" customHeight="1" x14ac:dyDescent="0.2">
      <c r="A1" s="1"/>
      <c r="B1" s="1"/>
      <c r="C1" s="1"/>
      <c r="D1" s="1"/>
      <c r="E1" s="1"/>
      <c r="F1" s="1"/>
      <c r="G1" s="1"/>
    </row>
    <row r="2" spans="1:7" ht="11" customHeight="1" x14ac:dyDescent="0.2">
      <c r="A2" s="2"/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</row>
    <row r="3" spans="1:7" ht="11" customHeight="1" x14ac:dyDescent="0.2">
      <c r="A3" s="1"/>
      <c r="B3" s="1" t="s">
        <v>41</v>
      </c>
      <c r="C3" s="3">
        <v>100</v>
      </c>
      <c r="D3" s="3" t="s">
        <v>29</v>
      </c>
      <c r="E3" s="1" t="s">
        <v>42</v>
      </c>
      <c r="F3" s="1" t="s">
        <v>43</v>
      </c>
      <c r="G3" s="1"/>
    </row>
    <row r="4" spans="1:7" ht="11" customHeight="1" x14ac:dyDescent="0.2">
      <c r="A4" s="1"/>
      <c r="B4" s="1" t="s">
        <v>44</v>
      </c>
      <c r="C4" s="3">
        <v>48</v>
      </c>
      <c r="D4" s="3" t="s">
        <v>29</v>
      </c>
      <c r="E4" s="1" t="s">
        <v>45</v>
      </c>
      <c r="F4" s="1" t="s">
        <v>46</v>
      </c>
      <c r="G4" s="1"/>
    </row>
    <row r="5" spans="1:7" ht="11" customHeight="1" x14ac:dyDescent="0.2">
      <c r="A5" s="1"/>
      <c r="B5" s="1" t="s">
        <v>47</v>
      </c>
      <c r="C5" s="3">
        <v>25</v>
      </c>
      <c r="D5" s="3" t="s">
        <v>48</v>
      </c>
      <c r="E5" s="1" t="s">
        <v>47</v>
      </c>
      <c r="F5" s="1" t="s">
        <v>49</v>
      </c>
      <c r="G5" s="1"/>
    </row>
    <row r="6" spans="1:7" ht="11" customHeight="1" x14ac:dyDescent="0.2">
      <c r="A6" s="1"/>
      <c r="B6" s="1" t="s">
        <v>50</v>
      </c>
      <c r="C6" s="3">
        <v>22</v>
      </c>
      <c r="D6" s="3" t="s">
        <v>29</v>
      </c>
      <c r="E6" s="1" t="s">
        <v>51</v>
      </c>
      <c r="F6" s="1" t="s">
        <v>52</v>
      </c>
      <c r="G6" s="1"/>
    </row>
    <row r="7" spans="1:7" ht="11" customHeight="1" x14ac:dyDescent="0.2">
      <c r="A7" s="1"/>
      <c r="B7" s="1" t="s">
        <v>53</v>
      </c>
      <c r="C7" s="3">
        <v>9</v>
      </c>
      <c r="D7" s="3" t="s">
        <v>48</v>
      </c>
      <c r="E7" s="1" t="s">
        <v>54</v>
      </c>
      <c r="F7" s="1" t="s">
        <v>49</v>
      </c>
      <c r="G7" s="1"/>
    </row>
    <row r="8" spans="1:7" ht="11" customHeight="1" x14ac:dyDescent="0.2">
      <c r="A8" s="1"/>
      <c r="B8" s="1" t="s">
        <v>55</v>
      </c>
      <c r="C8" s="3">
        <v>6</v>
      </c>
      <c r="D8" s="3" t="s">
        <v>48</v>
      </c>
      <c r="E8" s="1" t="s">
        <v>55</v>
      </c>
      <c r="F8" s="1" t="s">
        <v>56</v>
      </c>
      <c r="G8" s="1"/>
    </row>
    <row r="9" spans="1:7" ht="11" customHeight="1" x14ac:dyDescent="0.2">
      <c r="A9" s="1"/>
      <c r="B9" s="1" t="s">
        <v>57</v>
      </c>
      <c r="C9" s="3">
        <v>7</v>
      </c>
      <c r="D9" s="3" t="s">
        <v>48</v>
      </c>
      <c r="E9" s="1" t="s">
        <v>58</v>
      </c>
      <c r="F9" s="1" t="s">
        <v>59</v>
      </c>
      <c r="G9" s="1"/>
    </row>
    <row r="10" spans="1:7" ht="11" customHeight="1" x14ac:dyDescent="0.2">
      <c r="A10" s="1"/>
      <c r="B10" s="1"/>
      <c r="C10" s="1"/>
      <c r="D10" s="1"/>
      <c r="E10" s="1"/>
      <c r="F10" s="1"/>
      <c r="G10" s="1"/>
    </row>
    <row r="11" spans="1:7" ht="11" customHeight="1" x14ac:dyDescent="0.2">
      <c r="A11" s="2"/>
      <c r="B11" s="2" t="s">
        <v>22</v>
      </c>
      <c r="C11" s="4">
        <v>217</v>
      </c>
      <c r="D11" s="2"/>
      <c r="E11" s="2"/>
      <c r="F11" s="2"/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Assets</vt:lpstr>
      <vt:lpstr>Expenses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Davcev, Andre R</dc:creator>
  <cp:keywords/>
  <dc:description/>
  <cp:lastModifiedBy>Andre Davcev</cp:lastModifiedBy>
  <cp:revision/>
  <dcterms:created xsi:type="dcterms:W3CDTF">2018-12-10T21:12:01Z</dcterms:created>
  <dcterms:modified xsi:type="dcterms:W3CDTF">2021-10-25T22:53:25Z</dcterms:modified>
  <cp:category/>
  <cp:contentStatus/>
</cp:coreProperties>
</file>